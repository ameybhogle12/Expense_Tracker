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vi\Desktop\"/>
    </mc:Choice>
  </mc:AlternateContent>
  <xr:revisionPtr revIDLastSave="0" documentId="13_ncr:1_{949D5BE7-5A3B-46CF-883F-4E7CEB35809F}" xr6:coauthVersionLast="47" xr6:coauthVersionMax="47" xr10:uidLastSave="{00000000-0000-0000-0000-000000000000}"/>
  <bookViews>
    <workbookView xWindow="-108" yWindow="-108" windowWidth="23256" windowHeight="12456" activeTab="3" xr2:uid="{977A960E-B9CD-4986-9323-479C0C68A40E}"/>
  </bookViews>
  <sheets>
    <sheet name="Expenses" sheetId="1" r:id="rId1"/>
    <sheet name="Paid" sheetId="2" r:id="rId2"/>
    <sheet name="Summary" sheetId="3" r:id="rId3"/>
    <sheet name="Settlemen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3" l="1"/>
  <c r="B20" i="1"/>
  <c r="D2" i="3"/>
  <c r="H20" i="1"/>
  <c r="G20" i="1"/>
  <c r="F20" i="1"/>
  <c r="E20" i="1"/>
  <c r="D20" i="1"/>
  <c r="C20" i="1"/>
  <c r="I19" i="1"/>
  <c r="I18" i="1"/>
  <c r="I17" i="1"/>
  <c r="I16" i="1"/>
  <c r="I15" i="1"/>
  <c r="I14" i="1"/>
  <c r="I13" i="1"/>
  <c r="I12" i="1"/>
  <c r="I11" i="1"/>
  <c r="I10" i="1"/>
  <c r="I9" i="1"/>
  <c r="I8" i="1"/>
  <c r="D8" i="3"/>
  <c r="D7" i="3"/>
  <c r="D6" i="3"/>
  <c r="D5" i="3"/>
  <c r="D4" i="3"/>
  <c r="D3" i="3"/>
  <c r="I7" i="1"/>
  <c r="I6" i="1"/>
  <c r="I5" i="1"/>
  <c r="I4" i="1"/>
  <c r="I3" i="1"/>
  <c r="I2" i="1"/>
  <c r="I20" i="1" l="1"/>
</calcChain>
</file>

<file path=xl/sharedStrings.xml><?xml version="1.0" encoding="utf-8"?>
<sst xmlns="http://schemas.openxmlformats.org/spreadsheetml/2006/main" count="63" uniqueCount="33">
  <si>
    <t>Expense</t>
  </si>
  <si>
    <t>Deepak</t>
  </si>
  <si>
    <t>Expense Total</t>
  </si>
  <si>
    <t>Total Share</t>
  </si>
  <si>
    <t>Name</t>
  </si>
  <si>
    <t>Paid</t>
  </si>
  <si>
    <t>Share</t>
  </si>
  <si>
    <t>Net</t>
  </si>
  <si>
    <t>From</t>
  </si>
  <si>
    <t>To</t>
  </si>
  <si>
    <t>Amount</t>
  </si>
  <si>
    <t>Nimish</t>
  </si>
  <si>
    <t>A Bhogle</t>
  </si>
  <si>
    <t>A Shinde</t>
  </si>
  <si>
    <t>Shubham</t>
  </si>
  <si>
    <t>Akanksha</t>
  </si>
  <si>
    <t>Ashmi</t>
  </si>
  <si>
    <t>Car Rent</t>
  </si>
  <si>
    <t>Breakfast</t>
  </si>
  <si>
    <t>Devache Saman</t>
  </si>
  <si>
    <t>Nimbu Pani</t>
  </si>
  <si>
    <t>Chaas</t>
  </si>
  <si>
    <t>Water</t>
  </si>
  <si>
    <t>Electral</t>
  </si>
  <si>
    <t>Kairi</t>
  </si>
  <si>
    <t>Vadapav</t>
  </si>
  <si>
    <t>Maggi</t>
  </si>
  <si>
    <t>Kairi+Guava</t>
  </si>
  <si>
    <t>Gola</t>
  </si>
  <si>
    <t>Dinner</t>
  </si>
  <si>
    <t>Breezer</t>
  </si>
  <si>
    <t>Toll,Parking,Fuel</t>
  </si>
  <si>
    <t>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</si>
</sst>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23</xdr:row>
      <xdr:rowOff>0</xdr:rowOff>
    </xdr:from>
    <xdr:to>
      <xdr:col>6</xdr:col>
      <xdr:colOff>632460</xdr:colOff>
      <xdr:row>24</xdr:row>
      <xdr:rowOff>114300</xdr:rowOff>
    </xdr:to>
    <xdr:sp macro="[0]!CalculateSettlem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08561EC-2E5F-A589-CF0F-A06DE3978EE2}"/>
            </a:ext>
          </a:extLst>
        </xdr:cNvPr>
        <xdr:cNvSpPr/>
      </xdr:nvSpPr>
      <xdr:spPr>
        <a:xfrm>
          <a:off x="5425440" y="2011680"/>
          <a:ext cx="131826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Split Expenses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BBDB8-E9B2-496F-8B09-B71EFEBACB10}">
  <sheetPr codeName="Sheet1"/>
  <dimension ref="A1:I20"/>
  <sheetViews>
    <sheetView workbookViewId="0">
      <selection activeCell="I20" sqref="I20"/>
    </sheetView>
  </sheetViews>
  <sheetFormatPr defaultRowHeight="14.4" x14ac:dyDescent="0.3"/>
  <cols>
    <col min="1" max="1" width="23" customWidth="1"/>
    <col min="2" max="2" width="15.109375" customWidth="1"/>
    <col min="3" max="3" width="12.21875" customWidth="1"/>
    <col min="4" max="4" width="12.77734375" customWidth="1"/>
    <col min="5" max="5" width="11.77734375" customWidth="1"/>
    <col min="6" max="6" width="14.21875" customWidth="1"/>
    <col min="7" max="7" width="17.44140625" customWidth="1"/>
    <col min="9" max="9" width="17.77734375" customWidth="1"/>
  </cols>
  <sheetData>
    <row r="1" spans="1:9" x14ac:dyDescent="0.3">
      <c r="A1" s="2" t="s">
        <v>0</v>
      </c>
      <c r="B1" s="2" t="s">
        <v>1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2</v>
      </c>
    </row>
    <row r="2" spans="1:9" x14ac:dyDescent="0.3">
      <c r="A2" s="1" t="s">
        <v>17</v>
      </c>
      <c r="B2">
        <v>357.1429</v>
      </c>
      <c r="C2">
        <v>357.1429</v>
      </c>
      <c r="D2">
        <v>357.1429</v>
      </c>
      <c r="E2">
        <v>357.1429</v>
      </c>
      <c r="F2">
        <v>357.1429</v>
      </c>
      <c r="G2">
        <v>357.1429</v>
      </c>
      <c r="H2">
        <v>357.1429</v>
      </c>
      <c r="I2">
        <f>SUM(B2:H2)</f>
        <v>2500.0002999999997</v>
      </c>
    </row>
    <row r="3" spans="1:9" x14ac:dyDescent="0.3">
      <c r="A3" s="1" t="s">
        <v>18</v>
      </c>
      <c r="B3">
        <v>132.8571</v>
      </c>
      <c r="C3">
        <v>132.8571</v>
      </c>
      <c r="D3">
        <v>132.8571</v>
      </c>
      <c r="E3">
        <v>132.8571</v>
      </c>
      <c r="F3">
        <v>132.8571</v>
      </c>
      <c r="G3">
        <v>132.8571</v>
      </c>
      <c r="H3">
        <v>132.8571</v>
      </c>
      <c r="I3">
        <f>SUM(B3:H3)</f>
        <v>929.99969999999985</v>
      </c>
    </row>
    <row r="4" spans="1:9" x14ac:dyDescent="0.3">
      <c r="A4" s="1" t="s">
        <v>19</v>
      </c>
      <c r="B4">
        <v>24.571429999999999</v>
      </c>
      <c r="C4">
        <v>24.571429999999999</v>
      </c>
      <c r="D4">
        <v>24.571429999999999</v>
      </c>
      <c r="E4">
        <v>24.571429999999999</v>
      </c>
      <c r="F4">
        <v>24.571429999999999</v>
      </c>
      <c r="G4">
        <v>24.571429999999999</v>
      </c>
      <c r="H4">
        <v>24.571429999999999</v>
      </c>
      <c r="I4">
        <f>SUM(B4:H4)</f>
        <v>172.00000999999997</v>
      </c>
    </row>
    <row r="5" spans="1:9" x14ac:dyDescent="0.3">
      <c r="A5" s="1" t="s">
        <v>20</v>
      </c>
      <c r="B5">
        <v>30</v>
      </c>
      <c r="C5">
        <v>0</v>
      </c>
      <c r="D5">
        <v>30</v>
      </c>
      <c r="E5">
        <v>0</v>
      </c>
      <c r="F5">
        <v>0</v>
      </c>
      <c r="G5">
        <v>30</v>
      </c>
      <c r="H5">
        <v>0</v>
      </c>
      <c r="I5">
        <f>SUM(B5:H5)</f>
        <v>90</v>
      </c>
    </row>
    <row r="6" spans="1:9" x14ac:dyDescent="0.3">
      <c r="A6" s="1" t="s">
        <v>21</v>
      </c>
      <c r="B6">
        <v>0</v>
      </c>
      <c r="C6">
        <v>66.67</v>
      </c>
      <c r="D6">
        <v>0</v>
      </c>
      <c r="E6">
        <v>66.67</v>
      </c>
      <c r="F6">
        <v>66.67</v>
      </c>
      <c r="G6">
        <v>0</v>
      </c>
      <c r="H6">
        <v>0</v>
      </c>
      <c r="I6">
        <f>SUM(B6:H6)</f>
        <v>200.01</v>
      </c>
    </row>
    <row r="7" spans="1:9" x14ac:dyDescent="0.3">
      <c r="A7" s="1" t="s">
        <v>22</v>
      </c>
      <c r="B7">
        <v>8.5714290000000002</v>
      </c>
      <c r="C7">
        <v>8.5714290000000002</v>
      </c>
      <c r="D7">
        <v>8.5714290000000002</v>
      </c>
      <c r="E7">
        <v>8.5714290000000002</v>
      </c>
      <c r="F7">
        <v>8.5714290000000002</v>
      </c>
      <c r="G7">
        <v>8.5714290000000002</v>
      </c>
      <c r="H7">
        <v>8.5714290000000002</v>
      </c>
      <c r="I7">
        <f>SUM(B7:H7)</f>
        <v>60.000003000000007</v>
      </c>
    </row>
    <row r="8" spans="1:9" x14ac:dyDescent="0.3">
      <c r="A8" s="1" t="s">
        <v>23</v>
      </c>
      <c r="B8">
        <v>9.2857140000000005</v>
      </c>
      <c r="C8">
        <v>9.2857140000000005</v>
      </c>
      <c r="D8">
        <v>9.2857140000000005</v>
      </c>
      <c r="E8">
        <v>9.2857140000000005</v>
      </c>
      <c r="F8">
        <v>9.2857140000000005</v>
      </c>
      <c r="G8">
        <v>9.2857140000000005</v>
      </c>
      <c r="H8">
        <v>9.2857140000000005</v>
      </c>
      <c r="I8">
        <f>SUM(B8:H8)</f>
        <v>64.999998000000005</v>
      </c>
    </row>
    <row r="9" spans="1:9" x14ac:dyDescent="0.3">
      <c r="A9" s="1" t="s">
        <v>24</v>
      </c>
      <c r="B9">
        <v>10</v>
      </c>
      <c r="C9">
        <v>10</v>
      </c>
      <c r="D9">
        <v>10</v>
      </c>
      <c r="E9">
        <v>10</v>
      </c>
      <c r="F9">
        <v>10</v>
      </c>
      <c r="G9">
        <v>10</v>
      </c>
      <c r="H9">
        <v>10</v>
      </c>
      <c r="I9">
        <f>SUM(B9:H9)</f>
        <v>70</v>
      </c>
    </row>
    <row r="10" spans="1:9" x14ac:dyDescent="0.3">
      <c r="A10" s="1" t="s">
        <v>25</v>
      </c>
      <c r="B10">
        <v>22.857140000000001</v>
      </c>
      <c r="C10">
        <v>22.857140000000001</v>
      </c>
      <c r="D10">
        <v>22.857140000000001</v>
      </c>
      <c r="E10">
        <v>22.857140000000001</v>
      </c>
      <c r="F10">
        <v>22.857140000000001</v>
      </c>
      <c r="G10">
        <v>22.857140000000001</v>
      </c>
      <c r="H10">
        <v>22.857140000000001</v>
      </c>
      <c r="I10">
        <f>SUM(B10:H10)</f>
        <v>159.99997999999999</v>
      </c>
    </row>
    <row r="11" spans="1:9" x14ac:dyDescent="0.3">
      <c r="A11" s="1" t="s">
        <v>26</v>
      </c>
      <c r="B11">
        <v>28.571429999999999</v>
      </c>
      <c r="C11">
        <v>28.571429999999999</v>
      </c>
      <c r="D11">
        <v>28.571429999999999</v>
      </c>
      <c r="E11">
        <v>28.571429999999999</v>
      </c>
      <c r="F11">
        <v>28.571429999999999</v>
      </c>
      <c r="G11">
        <v>28.571429999999999</v>
      </c>
      <c r="H11">
        <v>28.571429999999999</v>
      </c>
      <c r="I11">
        <f>SUM(B11:H11)</f>
        <v>200.00000999999997</v>
      </c>
    </row>
    <row r="12" spans="1:9" x14ac:dyDescent="0.3">
      <c r="A12" s="1" t="s">
        <v>22</v>
      </c>
      <c r="B12">
        <v>5.7142860000000004</v>
      </c>
      <c r="C12">
        <v>5.7142860000000004</v>
      </c>
      <c r="D12">
        <v>5.7142860000000004</v>
      </c>
      <c r="E12">
        <v>5.7142860000000004</v>
      </c>
      <c r="F12">
        <v>5.7142860000000004</v>
      </c>
      <c r="G12">
        <v>5.7142860000000004</v>
      </c>
      <c r="H12">
        <v>5.7142860000000004</v>
      </c>
      <c r="I12">
        <f>SUM(B12:H12)</f>
        <v>40.000002000000002</v>
      </c>
    </row>
    <row r="13" spans="1:9" x14ac:dyDescent="0.3">
      <c r="A13" s="1" t="s">
        <v>27</v>
      </c>
      <c r="B13">
        <v>10</v>
      </c>
      <c r="C13">
        <v>10</v>
      </c>
      <c r="D13">
        <v>10</v>
      </c>
      <c r="E13">
        <v>10</v>
      </c>
      <c r="F13">
        <v>10</v>
      </c>
      <c r="G13">
        <v>10</v>
      </c>
      <c r="H13">
        <v>10</v>
      </c>
      <c r="I13">
        <f>SUM(B13:H13)</f>
        <v>70</v>
      </c>
    </row>
    <row r="14" spans="1:9" x14ac:dyDescent="0.3">
      <c r="A14" s="1" t="s">
        <v>28</v>
      </c>
      <c r="B14">
        <v>8.5714290000000002</v>
      </c>
      <c r="C14">
        <v>8.5714290000000002</v>
      </c>
      <c r="D14">
        <v>8.5714290000000002</v>
      </c>
      <c r="E14">
        <v>8.5714290000000002</v>
      </c>
      <c r="F14">
        <v>8.5714290000000002</v>
      </c>
      <c r="G14">
        <v>8.5714290000000002</v>
      </c>
      <c r="H14">
        <v>8.5714290000000002</v>
      </c>
      <c r="I14">
        <f>SUM(B14:H14)</f>
        <v>60.000003000000007</v>
      </c>
    </row>
    <row r="15" spans="1:9" x14ac:dyDescent="0.3">
      <c r="A15" s="1" t="s">
        <v>22</v>
      </c>
      <c r="B15">
        <v>8.5714290000000002</v>
      </c>
      <c r="C15">
        <v>8.5714290000000002</v>
      </c>
      <c r="D15">
        <v>8.5714290000000002</v>
      </c>
      <c r="E15">
        <v>8.5714290000000002</v>
      </c>
      <c r="F15">
        <v>8.5714290000000002</v>
      </c>
      <c r="G15">
        <v>8.5714290000000002</v>
      </c>
      <c r="H15">
        <v>8.5714290000000002</v>
      </c>
      <c r="I15">
        <f>SUM(B15:H15)</f>
        <v>60.000003000000007</v>
      </c>
    </row>
    <row r="16" spans="1:9" x14ac:dyDescent="0.3">
      <c r="A16" s="1" t="s">
        <v>29</v>
      </c>
      <c r="B16">
        <v>422.1429</v>
      </c>
      <c r="C16">
        <v>422.1429</v>
      </c>
      <c r="D16">
        <v>422.1429</v>
      </c>
      <c r="E16">
        <v>422.1429</v>
      </c>
      <c r="F16">
        <v>422.1429</v>
      </c>
      <c r="G16">
        <v>422.1429</v>
      </c>
      <c r="H16">
        <v>422.1429</v>
      </c>
      <c r="I16">
        <f>SUM(B16:H16)</f>
        <v>2955.0002999999997</v>
      </c>
    </row>
    <row r="17" spans="1:9" x14ac:dyDescent="0.3">
      <c r="A17" s="1" t="s">
        <v>30</v>
      </c>
      <c r="B17">
        <v>0</v>
      </c>
      <c r="C17">
        <v>280</v>
      </c>
      <c r="D17">
        <v>280</v>
      </c>
      <c r="E17">
        <v>0</v>
      </c>
      <c r="F17">
        <v>0</v>
      </c>
      <c r="G17">
        <v>0</v>
      </c>
      <c r="H17">
        <v>0</v>
      </c>
      <c r="I17">
        <f>SUM(B17:H17)</f>
        <v>560</v>
      </c>
    </row>
    <row r="18" spans="1:9" x14ac:dyDescent="0.3">
      <c r="A18" s="1" t="s">
        <v>31</v>
      </c>
      <c r="B18">
        <v>232.42859999999999</v>
      </c>
      <c r="C18">
        <v>232.42859999999999</v>
      </c>
      <c r="D18">
        <v>232.42859999999999</v>
      </c>
      <c r="E18">
        <v>232.42859999999999</v>
      </c>
      <c r="F18">
        <v>232.42859999999999</v>
      </c>
      <c r="G18">
        <v>232.42859999999999</v>
      </c>
      <c r="H18">
        <v>232.42859999999999</v>
      </c>
      <c r="I18">
        <f>SUM(B18:H18)</f>
        <v>1627.0001999999999</v>
      </c>
    </row>
    <row r="19" spans="1:9" x14ac:dyDescent="0.3">
      <c r="A19" s="1" t="s">
        <v>32</v>
      </c>
      <c r="B19">
        <v>0</v>
      </c>
      <c r="C19">
        <v>0</v>
      </c>
      <c r="D19">
        <v>200</v>
      </c>
      <c r="E19">
        <v>0</v>
      </c>
      <c r="F19">
        <v>0</v>
      </c>
      <c r="G19">
        <v>200</v>
      </c>
      <c r="H19">
        <v>200</v>
      </c>
      <c r="I19">
        <f>SUM(B19:H19)</f>
        <v>600</v>
      </c>
    </row>
    <row r="20" spans="1:9" x14ac:dyDescent="0.3">
      <c r="A20" s="1" t="s">
        <v>3</v>
      </c>
      <c r="B20">
        <f>SUM(B2:B19)</f>
        <v>1311.2857869999998</v>
      </c>
      <c r="C20">
        <f>SUM(C2:C19)</f>
        <v>1627.9557869999996</v>
      </c>
      <c r="D20">
        <f>SUM(D2:D19)</f>
        <v>1791.2857869999998</v>
      </c>
      <c r="E20">
        <f>SUM(E2:E19)</f>
        <v>1347.9557869999996</v>
      </c>
      <c r="F20">
        <f>SUM(F2:F19)</f>
        <v>1347.9557869999996</v>
      </c>
      <c r="G20">
        <f>SUM(G2:G19)</f>
        <v>1511.2857869999998</v>
      </c>
      <c r="H20">
        <f>SUM(H2:H19)</f>
        <v>1481.2857869999998</v>
      </c>
      <c r="I20" s="1">
        <f>SUM(I2:I19)</f>
        <v>10419.010509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394DF-5997-4E8B-AD9D-D681A823BE3E}">
  <sheetPr codeName="Sheet2"/>
  <dimension ref="A1:B8"/>
  <sheetViews>
    <sheetView workbookViewId="0">
      <selection activeCell="B3" sqref="B3"/>
    </sheetView>
  </sheetViews>
  <sheetFormatPr defaultRowHeight="14.4" x14ac:dyDescent="0.3"/>
  <cols>
    <col min="1" max="1" width="19" customWidth="1"/>
    <col min="2" max="2" width="13.44140625" customWidth="1"/>
  </cols>
  <sheetData>
    <row r="1" spans="1:2" x14ac:dyDescent="0.3">
      <c r="A1" s="2" t="s">
        <v>4</v>
      </c>
      <c r="B1" s="2" t="s">
        <v>5</v>
      </c>
    </row>
    <row r="2" spans="1:2" x14ac:dyDescent="0.3">
      <c r="A2" t="s">
        <v>1</v>
      </c>
      <c r="B2">
        <v>90</v>
      </c>
    </row>
    <row r="3" spans="1:2" x14ac:dyDescent="0.3">
      <c r="A3" t="s">
        <v>11</v>
      </c>
      <c r="B3">
        <v>5602.01</v>
      </c>
    </row>
    <row r="4" spans="1:2" x14ac:dyDescent="0.3">
      <c r="A4" t="s">
        <v>12</v>
      </c>
      <c r="B4">
        <v>600</v>
      </c>
    </row>
    <row r="5" spans="1:2" x14ac:dyDescent="0.3">
      <c r="A5" t="s">
        <v>13</v>
      </c>
      <c r="B5">
        <v>4127.0010000000002</v>
      </c>
    </row>
    <row r="6" spans="1:2" x14ac:dyDescent="0.3">
      <c r="A6" t="s">
        <v>14</v>
      </c>
      <c r="B6">
        <v>0</v>
      </c>
    </row>
    <row r="7" spans="1:2" x14ac:dyDescent="0.3">
      <c r="A7" t="s">
        <v>15</v>
      </c>
      <c r="B7">
        <v>0</v>
      </c>
    </row>
    <row r="8" spans="1:2" x14ac:dyDescent="0.3">
      <c r="A8" t="s">
        <v>16</v>
      </c>
      <c r="B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0C4E-526F-4788-A36F-56A8B2D68D09}">
  <sheetPr codeName="Sheet3"/>
  <dimension ref="A1:O12"/>
  <sheetViews>
    <sheetView workbookViewId="0">
      <selection activeCell="O13" sqref="O13"/>
    </sheetView>
  </sheetViews>
  <sheetFormatPr defaultRowHeight="14.4" x14ac:dyDescent="0.3"/>
  <cols>
    <col min="2" max="2" width="14.21875" customWidth="1"/>
    <col min="3" max="3" width="11.5546875" customWidth="1"/>
    <col min="4" max="4" width="10.88671875" customWidth="1"/>
  </cols>
  <sheetData>
    <row r="1" spans="1:15" x14ac:dyDescent="0.3">
      <c r="A1" s="1" t="s">
        <v>4</v>
      </c>
      <c r="B1" s="1" t="s">
        <v>5</v>
      </c>
      <c r="C1" s="1" t="s">
        <v>6</v>
      </c>
      <c r="D1" s="1" t="s">
        <v>7</v>
      </c>
    </row>
    <row r="2" spans="1:15" x14ac:dyDescent="0.3">
      <c r="A2" t="s">
        <v>1</v>
      </c>
      <c r="B2">
        <v>90</v>
      </c>
      <c r="C2">
        <v>1311.285787</v>
      </c>
      <c r="D2">
        <f>B2-C2</f>
        <v>-1221.285787</v>
      </c>
    </row>
    <row r="3" spans="1:15" x14ac:dyDescent="0.3">
      <c r="A3" t="s">
        <v>11</v>
      </c>
      <c r="B3">
        <v>5602.01</v>
      </c>
      <c r="C3">
        <v>1627.9557870000001</v>
      </c>
      <c r="D3">
        <f t="shared" ref="D3:D8" si="0">B3-C3</f>
        <v>3974.0542130000003</v>
      </c>
    </row>
    <row r="4" spans="1:15" x14ac:dyDescent="0.3">
      <c r="A4" t="s">
        <v>12</v>
      </c>
      <c r="B4">
        <v>600</v>
      </c>
      <c r="C4">
        <v>1791.285787</v>
      </c>
      <c r="D4">
        <f t="shared" si="0"/>
        <v>-1191.285787</v>
      </c>
    </row>
    <row r="5" spans="1:15" x14ac:dyDescent="0.3">
      <c r="A5" t="s">
        <v>13</v>
      </c>
      <c r="B5">
        <v>4127.0010000000002</v>
      </c>
      <c r="C5">
        <v>1347.9557870000001</v>
      </c>
      <c r="D5">
        <f t="shared" si="0"/>
        <v>2779.0452130000003</v>
      </c>
    </row>
    <row r="6" spans="1:15" x14ac:dyDescent="0.3">
      <c r="A6" t="s">
        <v>14</v>
      </c>
      <c r="B6">
        <v>0</v>
      </c>
      <c r="C6">
        <v>1347.9557870000001</v>
      </c>
      <c r="D6">
        <f t="shared" si="0"/>
        <v>-1347.9557870000001</v>
      </c>
    </row>
    <row r="7" spans="1:15" x14ac:dyDescent="0.3">
      <c r="A7" t="s">
        <v>15</v>
      </c>
      <c r="B7">
        <v>0</v>
      </c>
      <c r="C7">
        <v>1511.285787</v>
      </c>
      <c r="D7">
        <f t="shared" si="0"/>
        <v>-1511.285787</v>
      </c>
    </row>
    <row r="8" spans="1:15" x14ac:dyDescent="0.3">
      <c r="A8" t="s">
        <v>16</v>
      </c>
      <c r="B8">
        <v>0</v>
      </c>
      <c r="C8">
        <v>1481.2860000000001</v>
      </c>
      <c r="D8">
        <f t="shared" si="0"/>
        <v>-1481.2860000000001</v>
      </c>
    </row>
    <row r="10" spans="1:15" x14ac:dyDescent="0.3">
      <c r="O10">
        <f>2785+3940</f>
        <v>6725</v>
      </c>
    </row>
    <row r="12" spans="1:15" x14ac:dyDescent="0.3">
      <c r="K12">
        <v>6755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2C93A-B3C2-4701-B1F1-3EDAC2B68754}">
  <sheetPr codeName="Sheet4"/>
  <dimension ref="A1:C7"/>
  <sheetViews>
    <sheetView tabSelected="1" workbookViewId="0">
      <selection activeCell="A8" sqref="A8"/>
    </sheetView>
  </sheetViews>
  <sheetFormatPr defaultRowHeight="14.4" x14ac:dyDescent="0.3"/>
  <cols>
    <col min="1" max="1" width="14.44140625" customWidth="1"/>
    <col min="2" max="2" width="13.6640625" customWidth="1"/>
    <col min="4" max="4" width="14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</v>
      </c>
      <c r="B2" t="s">
        <v>11</v>
      </c>
      <c r="C2">
        <v>1221.285787</v>
      </c>
    </row>
    <row r="3" spans="1:3" x14ac:dyDescent="0.3">
      <c r="A3" t="s">
        <v>12</v>
      </c>
      <c r="B3" t="s">
        <v>11</v>
      </c>
      <c r="C3">
        <v>1191.285787</v>
      </c>
    </row>
    <row r="4" spans="1:3" x14ac:dyDescent="0.3">
      <c r="A4" t="s">
        <v>14</v>
      </c>
      <c r="B4" t="s">
        <v>11</v>
      </c>
      <c r="C4">
        <v>1347.9557870000001</v>
      </c>
    </row>
    <row r="5" spans="1:3" x14ac:dyDescent="0.3">
      <c r="A5" t="s">
        <v>15</v>
      </c>
      <c r="B5" t="s">
        <v>11</v>
      </c>
      <c r="C5">
        <v>213.52685200000042</v>
      </c>
    </row>
    <row r="6" spans="1:3" x14ac:dyDescent="0.3">
      <c r="A6" t="s">
        <v>15</v>
      </c>
      <c r="B6" t="s">
        <v>13</v>
      </c>
      <c r="C6">
        <v>1297.7589349999996</v>
      </c>
    </row>
    <row r="7" spans="1:3" x14ac:dyDescent="0.3">
      <c r="A7" t="s">
        <v>16</v>
      </c>
      <c r="B7" t="s">
        <v>13</v>
      </c>
      <c r="C7">
        <v>1481.2860000000001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Expenses</vt:lpstr>
      <vt:lpstr>Paid</vt:lpstr>
      <vt:lpstr>Summary</vt:lpstr>
      <vt:lpstr>Settlement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Bondre</dc:creator>
  <cp:lastModifiedBy>Deepak Bondre</cp:lastModifiedBy>
  <dcterms:created xsi:type="dcterms:W3CDTF">2026-01-02T16:03:56Z</dcterms:created>
  <dcterms:modified xsi:type="dcterms:W3CDTF">2026-05-04T14:29:15Z</dcterms:modified>
</cp:coreProperties>
</file>